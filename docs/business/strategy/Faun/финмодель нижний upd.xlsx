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нмодель" sheetId="1" r:id="rId4"/>
  </sheets>
  <definedNames/>
  <calcPr/>
  <extLst>
    <ext uri="GoogleSheetsCustomDataVersion2">
      <go:sheetsCustomData xmlns:go="http://customooxmlschemas.google.com/" r:id="rId5" roundtripDataChecksum="jkAryo9fJDwuIYo2CLgs1u0tdLAeFdYV0TcbyJLn13g="/>
    </ext>
  </extLst>
</workbook>
</file>

<file path=xl/sharedStrings.xml><?xml version="1.0" encoding="utf-8"?>
<sst xmlns="http://schemas.openxmlformats.org/spreadsheetml/2006/main" count="111" uniqueCount="104">
  <si>
    <t>Финмодель: мониторинг лесных пожаров (Нижний Новгород)</t>
  </si>
  <si>
    <t xml:space="preserve">  ОСНОВНЫЕ ПАРАМЕТРЫ</t>
  </si>
  <si>
    <t>Объём насаждений, га</t>
  </si>
  <si>
    <t>источник: исходная модель</t>
  </si>
  <si>
    <t>Стоимость узла (по спецификации), руб</t>
  </si>
  <si>
    <t>из BOM ниже</t>
  </si>
  <si>
    <t>Стоимость узла для оценки костов, руб</t>
  </si>
  <si>
    <t>округление, использовалось в исходных формулах</t>
  </si>
  <si>
    <t>Целевая цена узла (сценарий удешевления), руб</t>
  </si>
  <si>
    <t>цель, при которой экономика бьётся</t>
  </si>
  <si>
    <t>Расходы на размещение (для сценария удешевления), руб</t>
  </si>
  <si>
    <t xml:space="preserve">  СЦЕНАРИИ ПОКРЫТИЯ</t>
  </si>
  <si>
    <t>Сценарий</t>
  </si>
  <si>
    <t>Зона на узел, га</t>
  </si>
  <si>
    <t>Кол-во узлов (≈)</t>
  </si>
  <si>
    <t>Комментарий</t>
  </si>
  <si>
    <t>Консервативно</t>
  </si>
  <si>
    <t>стандартная плотность</t>
  </si>
  <si>
    <t>Оптимистично</t>
  </si>
  <si>
    <t>более продвинутая электроника / акустика</t>
  </si>
  <si>
    <t>Очень оптимистично</t>
  </si>
  <si>
    <t>макс из встреченного, требует микро-микрофонов; покрывает ~1/4 территории</t>
  </si>
  <si>
    <t xml:space="preserve">  ОЦЕНКА ОБЩИХ КОСТОВ</t>
  </si>
  <si>
    <t>Кол-во узлов *</t>
  </si>
  <si>
    <t>Цена за узел, руб</t>
  </si>
  <si>
    <t>Косты, руб</t>
  </si>
  <si>
    <t>Косты, млн руб</t>
  </si>
  <si>
    <t>БЕЗ расходов на размещение</t>
  </si>
  <si>
    <t>покрывает ~1/4 территории, БЕЗ размещения</t>
  </si>
  <si>
    <t>Удешевление до целевой цены</t>
  </si>
  <si>
    <t>при цене 15 т.р./узел + расходы на размещение</t>
  </si>
  <si>
    <t>*  Округлённые значения для оценки сверху (не равны точному кол-ву узлов из таблицы выше). Сценарий «удешевление» подходит, либо если покрываем 800 га на узел, либо если собираем узел дешевле в 2 раза.</t>
  </si>
  <si>
    <t xml:space="preserve">  СПЕЦИФИКАЦИЯ УЗЛА (BOM)</t>
  </si>
  <si>
    <t>Компонент</t>
  </si>
  <si>
    <t>Модель / описание</t>
  </si>
  <si>
    <t>Цена, руб</t>
  </si>
  <si>
    <t>Источник / ссылка</t>
  </si>
  <si>
    <t>Вычислительный модуль</t>
  </si>
  <si>
    <t>Orange Pi 5 4GB</t>
  </si>
  <si>
    <t>Ozon: Orange Pi 5 4GB / ЯМ: Orange Pi 5 4GB</t>
  </si>
  <si>
    <t>Микрофоны</t>
  </si>
  <si>
    <t>INMP441 I2S MEMS, комплект 5 шт.</t>
  </si>
  <si>
    <t>https://market.yandex.ru/card/vsenapravlennyy-mikrofon-inmp441-i2s/5576412842</t>
  </si>
  <si>
    <t>Аккумулятор</t>
  </si>
  <si>
    <t>LiFePO4 12.8V 6Ah с BMS</t>
  </si>
  <si>
    <t>https://www.ozon.ru/product/akkumulyator-dlya-ibp-12-8-v-6ah-lifepo4-npp-1606671877/  (альт. https://electropapa.com/de/bordbatterie-akku-...)</t>
  </si>
  <si>
    <t>Солнечная панель</t>
  </si>
  <si>
    <t>30W 12V</t>
  </si>
  <si>
    <t>https://www.ozon.ru/product/solnechnaya-panel-batareya-vostok-100-30-m12-77-x-67-cm-12-volt</t>
  </si>
  <si>
    <t>Контроллер заряда</t>
  </si>
  <si>
    <t>MPPT 10A 12V/24V</t>
  </si>
  <si>
    <t>https://market.yandex.ru/card/kontroller-zaryada-solnechnoy-batarei-mppt-10a-lcd-12v-24v</t>
  </si>
  <si>
    <t>Корпус</t>
  </si>
  <si>
    <t>Алюминиевый герметичный IP66</t>
  </si>
  <si>
    <t>Ozon: Spelsberg 230×200×110 IP66 / Ozon: GW 164×139×64 IP66</t>
  </si>
  <si>
    <t>Связь</t>
  </si>
  <si>
    <t>USB 4G/LTE модем или роутер</t>
  </si>
  <si>
    <t>https://market.yandex.ru/card/quectel-eg25-g-4g-modem-getcomai/4994388422</t>
  </si>
  <si>
    <t>Память</t>
  </si>
  <si>
    <t>microSD High/Pro Endurance 128GB</t>
  </si>
  <si>
    <t>ЯМ: Industrial / endurance microSD / ЯМ: Samsung PRO Endurance 128GB</t>
  </si>
  <si>
    <t>DC-DC питание</t>
  </si>
  <si>
    <t>12V → 5V преобразователь</t>
  </si>
  <si>
    <t>https://market.yandex.ru/card/povyshayushchiy-i-ponizhayushchiy-usb-dc-dc-preobrazovatel</t>
  </si>
  <si>
    <t>Крепления / герметизация</t>
  </si>
  <si>
    <t>гермовводы, кабели, хомуты, кронштейны</t>
  </si>
  <si>
    <t>лучше добирать отдельными позициями на ЯМ/Ozon</t>
  </si>
  <si>
    <t>Антенны</t>
  </si>
  <si>
    <t>LTE/Wi-Fi SMA антенны + переходники</t>
  </si>
  <si>
    <t>поиск по ЯМ/Ozon</t>
  </si>
  <si>
    <t>Расходники</t>
  </si>
  <si>
    <t>провода, макетные платы, разъёмы, предохранители, термоусадка</t>
  </si>
  <si>
    <t>ИТОГО ПО СПЕЦИФИКАЦИИ</t>
  </si>
  <si>
    <t>Заметки: «наверное, можно попробовать собрать дешевле»; «чтобы экономика хорошо билась, нужна стоимость узла до 15 т.р.»</t>
  </si>
  <si>
    <t xml:space="preserve">  КОНТЕКСТ: ГОДОВЫЕ РАСХОДЫ РЕГИОНА НА ПОЖАРНУЮ ОХРАНУ</t>
  </si>
  <si>
    <t>Статья расходов</t>
  </si>
  <si>
    <t>Сумма, млн руб</t>
  </si>
  <si>
    <t>Авиамониторинг пожарной опасности в лесах</t>
  </si>
  <si>
    <t>570 лётных часов по 5 маршрутам, пожароопасный сезон до 31 октября</t>
  </si>
  <si>
    <t>Наземное патрулирование пожарной опасности</t>
  </si>
  <si>
    <t>строка областного бюджета: «проведение мониторинга… путём наземного патрулирования»</t>
  </si>
  <si>
    <t>Закупка техники</t>
  </si>
  <si>
    <t>но мы вряд ли попадаем</t>
  </si>
  <si>
    <t>Дополнительный авиамониторинг</t>
  </si>
  <si>
    <t>Расходы на видеомонтаж камер</t>
  </si>
  <si>
    <t>оценка 15–20 млн руб.</t>
  </si>
  <si>
    <t>ОВЕРОЛ (по оценке автора)</t>
  </si>
  <si>
    <t>≈ 80 млн руб. — авторская оценка релевантной части бюджета</t>
  </si>
  <si>
    <t xml:space="preserve">  ЛОГИСТИКА РАЗМЕЩЕНИЯ</t>
  </si>
  <si>
    <t>Чистый путь для размещения, км</t>
  </si>
  <si>
    <t>Время на установку одного узла, мин</t>
  </si>
  <si>
    <t>Общее время на размещение, часов</t>
  </si>
  <si>
    <t>Минимум людей в команде</t>
  </si>
  <si>
    <t>водитель + монтажник</t>
  </si>
  <si>
    <t>Длительность размещения, рабочих дней</t>
  </si>
  <si>
    <t>примерно</t>
  </si>
  <si>
    <t>Расходы на команду из 2 человек, руб</t>
  </si>
  <si>
    <t xml:space="preserve">  ЛЕГЕНДА</t>
  </si>
  <si>
    <t>Синий жирный</t>
  </si>
  <si>
    <t>редактируемый вход — меняйте значения здесь, остальное пересчитается</t>
  </si>
  <si>
    <t>Чёрный обычный</t>
  </si>
  <si>
    <t>результат формулы — не редактируйте, пересчитывается автоматически</t>
  </si>
  <si>
    <t>Янтарная заливка</t>
  </si>
  <si>
    <t>итоговое значение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</si>
</sst>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–"/>
    <numFmt numFmtId="165" formatCode="#,##0&quot; ₽&quot;;\(#,##0&quot;) ₽&quot;;\–"/>
    <numFmt numFmtId="166" formatCode="#,##0.0&quot; млн ₽&quot;;\(#,##0.0&quot;) млн ₽&quot;;\–"/>
  </numFmts>
  <fonts count="11">
    <font>
      <sz val="11.0"/>
      <color theme="1"/>
      <name val="Calibri"/>
      <scheme val="minor"/>
    </font>
    <font>
      <b/>
      <sz val="20.0"/>
      <color rgb="FFFFFFFF"/>
      <name val="Calibri"/>
    </font>
    <font/>
    <font>
      <b/>
      <sz val="12.0"/>
      <color rgb="FFFFFFFF"/>
      <name val="Calibri"/>
    </font>
    <font>
      <sz val="11.0"/>
      <color rgb="FF262626"/>
      <name val="Calibri"/>
    </font>
    <font>
      <b/>
      <sz val="11.0"/>
      <color rgb="FF0070C0"/>
      <name val="Calibri"/>
    </font>
    <font>
      <i/>
      <sz val="10.0"/>
      <color rgb="FF595959"/>
      <name val="Calibri"/>
    </font>
    <font>
      <b/>
      <sz val="11.0"/>
      <color rgb="FF1F3A5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2E75B6"/>
        <bgColor rgb="FF2E75B6"/>
      </patternFill>
    </fill>
    <fill>
      <patternFill patternType="solid">
        <fgColor rgb="FFF8F9FA"/>
        <bgColor rgb="FFF8F9FA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4" fillId="4" fontId="5" numFmtId="164" xfId="0" applyAlignment="1" applyBorder="1" applyFill="1" applyFont="1" applyNumberFormat="1">
      <alignment horizontal="right" shrinkToFit="0" vertical="center" wrapText="0"/>
    </xf>
    <xf borderId="0" fillId="0" fontId="6" numFmtId="0" xfId="0" applyAlignment="1" applyFont="1">
      <alignment horizontal="left" shrinkToFit="0" vertical="center" wrapText="1"/>
    </xf>
    <xf borderId="4" fillId="4" fontId="5" numFmtId="165" xfId="0" applyAlignment="1" applyBorder="1" applyFont="1" applyNumberFormat="1">
      <alignment horizontal="right" shrinkToFit="0" vertical="center" wrapText="0"/>
    </xf>
    <xf borderId="4" fillId="5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4" numFmtId="0" xfId="0" applyAlignment="1" applyBorder="1" applyFont="1">
      <alignment horizontal="left" shrinkToFit="0" vertical="center" wrapText="1"/>
    </xf>
    <xf borderId="5" fillId="4" fontId="8" numFmtId="164" xfId="0" applyAlignment="1" applyBorder="1" applyFont="1" applyNumberFormat="1">
      <alignment horizontal="right" shrinkToFit="0" vertical="center" wrapText="0"/>
    </xf>
    <xf borderId="4" fillId="0" fontId="4" numFmtId="0" xfId="0" applyAlignment="1" applyBorder="1" applyFont="1">
      <alignment horizontal="left" shrinkToFit="0" vertical="center" wrapText="1"/>
    </xf>
    <xf borderId="4" fillId="0" fontId="5" numFmtId="164" xfId="0" applyAlignment="1" applyBorder="1" applyFont="1" applyNumberFormat="1">
      <alignment horizontal="right" shrinkToFit="0" vertical="center" wrapText="0"/>
    </xf>
    <xf borderId="5" fillId="0" fontId="8" numFmtId="164" xfId="0" applyAlignment="1" applyBorder="1" applyFont="1" applyNumberFormat="1">
      <alignment horizontal="right" shrinkToFit="0" vertical="center" wrapText="0"/>
    </xf>
    <xf borderId="4" fillId="4" fontId="8" numFmtId="165" xfId="0" applyAlignment="1" applyBorder="1" applyFont="1" applyNumberFormat="1">
      <alignment horizontal="right" shrinkToFit="0" vertical="center" wrapText="0"/>
    </xf>
    <xf borderId="4" fillId="4" fontId="8" numFmtId="166" xfId="0" applyAlignment="1" applyBorder="1" applyFont="1" applyNumberFormat="1">
      <alignment horizontal="right" shrinkToFit="0" vertical="center" wrapText="0"/>
    </xf>
    <xf borderId="4" fillId="0" fontId="8" numFmtId="165" xfId="0" applyAlignment="1" applyBorder="1" applyFont="1" applyNumberFormat="1">
      <alignment horizontal="right" shrinkToFit="0" vertical="center" wrapText="0"/>
    </xf>
    <xf borderId="4" fillId="0" fontId="8" numFmtId="166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left" shrinkToFit="0" vertical="top" wrapText="1"/>
    </xf>
    <xf borderId="5" fillId="4" fontId="4" numFmtId="0" xfId="0" applyAlignment="1" applyBorder="1" applyFont="1">
      <alignment horizontal="left" shrinkToFit="0" vertical="center" wrapText="1"/>
    </xf>
    <xf borderId="5" fillId="4" fontId="6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4" fillId="0" fontId="8" numFmtId="165" xfId="0" applyAlignment="1" applyBorder="1" applyFont="1" applyNumberFormat="1">
      <alignment horizontal="right" readingOrder="0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4" fillId="0" fontId="5" numFmtId="165" xfId="0" applyAlignment="1" applyBorder="1" applyFont="1" applyNumberFormat="1">
      <alignment horizontal="right"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5" fillId="6" fontId="10" numFmtId="0" xfId="0" applyAlignment="1" applyBorder="1" applyFont="1">
      <alignment shrinkToFit="0" vertical="bottom" wrapText="0"/>
    </xf>
    <xf borderId="4" fillId="6" fontId="9" numFmtId="165" xfId="0" applyAlignment="1" applyBorder="1" applyFont="1" applyNumberFormat="1">
      <alignment horizontal="right" shrinkToFit="0" vertical="center" wrapText="0"/>
    </xf>
    <xf borderId="5" fillId="4" fontId="5" numFmtId="166" xfId="0" applyAlignment="1" applyBorder="1" applyFont="1" applyNumberFormat="1">
      <alignment horizontal="right" shrinkToFit="0" vertical="center" wrapText="0"/>
    </xf>
    <xf borderId="5" fillId="0" fontId="5" numFmtId="166" xfId="0" applyAlignment="1" applyBorder="1" applyFont="1" applyNumberFormat="1">
      <alignment horizontal="right" shrinkToFit="0" vertical="center" wrapText="0"/>
    </xf>
    <xf borderId="5" fillId="6" fontId="5" numFmtId="166" xfId="0" applyAlignment="1" applyBorder="1" applyFont="1" applyNumberFormat="1">
      <alignment horizontal="right" shrinkToFit="0" vertical="center" wrapText="0"/>
    </xf>
    <xf borderId="5" fillId="6" fontId="6" numFmtId="0" xfId="0" applyAlignment="1" applyBorder="1" applyFont="1">
      <alignment horizontal="left" shrinkToFit="0" vertical="center" wrapText="1"/>
    </xf>
    <xf borderId="5" fillId="4" fontId="5" numFmtId="164" xfId="0" applyAlignment="1" applyBorder="1" applyFont="1" applyNumberFormat="1">
      <alignment horizontal="right" shrinkToFit="0" vertical="center" wrapText="0"/>
    </xf>
    <xf borderId="5" fillId="0" fontId="5" numFmtId="164" xfId="0" applyAlignment="1" applyBorder="1" applyFont="1" applyNumberFormat="1">
      <alignment horizontal="right" shrinkToFit="0" vertical="center" wrapText="0"/>
    </xf>
    <xf borderId="5" fillId="0" fontId="5" numFmtId="165" xfId="0" applyAlignment="1" applyBorder="1" applyFont="1" applyNumberFormat="1">
      <alignment horizontal="right" shrinkToFit="0" vertical="center" wrapText="0"/>
    </xf>
    <xf borderId="4" fillId="4" fontId="5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5" width="18.0"/>
    <col customWidth="1" min="6" max="6" width="38.0"/>
    <col customWidth="1" min="7" max="7" width="50.0"/>
    <col customWidth="1" min="8" max="26" width="8.71"/>
  </cols>
  <sheetData>
    <row r="1" ht="7.5" customHeight="1"/>
    <row r="2" ht="37.5" customHeight="1">
      <c r="B2" s="1" t="s">
        <v>0</v>
      </c>
      <c r="C2" s="2"/>
      <c r="D2" s="2"/>
      <c r="E2" s="2"/>
      <c r="F2" s="2"/>
      <c r="G2" s="3"/>
    </row>
    <row r="3" ht="6.0" customHeight="1"/>
    <row r="4" ht="25.5" customHeight="1">
      <c r="B4" s="4" t="s">
        <v>1</v>
      </c>
      <c r="C4" s="2"/>
      <c r="D4" s="2"/>
      <c r="E4" s="2"/>
      <c r="F4" s="2"/>
      <c r="G4" s="3"/>
    </row>
    <row r="5" ht="21.75" customHeight="1">
      <c r="B5" s="5" t="s">
        <v>2</v>
      </c>
      <c r="C5" s="6">
        <v>231716.0</v>
      </c>
      <c r="F5" s="7" t="s">
        <v>3</v>
      </c>
    </row>
    <row r="6" ht="36.75" customHeight="1">
      <c r="B6" s="5" t="s">
        <v>4</v>
      </c>
      <c r="C6" s="8">
        <v>61581.0</v>
      </c>
      <c r="F6" s="7" t="s">
        <v>5</v>
      </c>
    </row>
    <row r="7" ht="32.25" customHeight="1">
      <c r="B7" s="5" t="s">
        <v>6</v>
      </c>
      <c r="C7" s="8">
        <v>62000.0</v>
      </c>
      <c r="F7" s="7" t="s">
        <v>7</v>
      </c>
    </row>
    <row r="8" ht="33.75" customHeight="1">
      <c r="B8" s="5" t="s">
        <v>8</v>
      </c>
      <c r="C8" s="8">
        <v>15000.0</v>
      </c>
      <c r="F8" s="7" t="s">
        <v>9</v>
      </c>
    </row>
    <row r="9" ht="35.25" customHeight="1">
      <c r="B9" s="5" t="s">
        <v>10</v>
      </c>
      <c r="C9" s="8">
        <v>400000.0</v>
      </c>
    </row>
    <row r="10" ht="31.5" customHeight="1"/>
    <row r="11" ht="25.5" customHeight="1">
      <c r="B11" s="4" t="s">
        <v>11</v>
      </c>
      <c r="C11" s="2"/>
      <c r="D11" s="2"/>
      <c r="E11" s="2"/>
      <c r="F11" s="2"/>
      <c r="G11" s="3"/>
    </row>
    <row r="12" ht="30.0" customHeight="1">
      <c r="B12" s="9" t="s">
        <v>12</v>
      </c>
      <c r="C12" s="9" t="s">
        <v>13</v>
      </c>
      <c r="D12" s="10" t="s">
        <v>14</v>
      </c>
      <c r="E12" s="11"/>
      <c r="F12" s="12"/>
      <c r="G12" s="9" t="s">
        <v>15</v>
      </c>
    </row>
    <row r="13" ht="24.0" customHeight="1">
      <c r="B13" s="13" t="s">
        <v>16</v>
      </c>
      <c r="C13" s="6">
        <v>80.0</v>
      </c>
      <c r="D13" s="14">
        <f t="shared" ref="D13:D15" si="1">$C$5/C13</f>
        <v>2896.45</v>
      </c>
      <c r="E13" s="11"/>
      <c r="F13" s="12"/>
      <c r="G13" s="7" t="s">
        <v>17</v>
      </c>
    </row>
    <row r="14" ht="24.0" customHeight="1">
      <c r="B14" s="15" t="s">
        <v>18</v>
      </c>
      <c r="C14" s="16">
        <v>300.0</v>
      </c>
      <c r="D14" s="17">
        <f t="shared" si="1"/>
        <v>772.3866667</v>
      </c>
      <c r="E14" s="11"/>
      <c r="F14" s="12"/>
      <c r="G14" s="7" t="s">
        <v>19</v>
      </c>
    </row>
    <row r="15" ht="24.0" customHeight="1">
      <c r="B15" s="13" t="s">
        <v>20</v>
      </c>
      <c r="C15" s="6">
        <v>800.0</v>
      </c>
      <c r="D15" s="14">
        <f t="shared" si="1"/>
        <v>289.645</v>
      </c>
      <c r="E15" s="11"/>
      <c r="F15" s="12"/>
      <c r="G15" s="7" t="s">
        <v>21</v>
      </c>
    </row>
    <row r="16" ht="7.5" customHeight="1"/>
    <row r="17" ht="25.5" customHeight="1">
      <c r="B17" s="4" t="s">
        <v>22</v>
      </c>
      <c r="C17" s="2"/>
      <c r="D17" s="2"/>
      <c r="E17" s="2"/>
      <c r="F17" s="2"/>
      <c r="G17" s="3"/>
    </row>
    <row r="18" ht="30.0" customHeight="1">
      <c r="B18" s="9" t="s">
        <v>12</v>
      </c>
      <c r="C18" s="9" t="s">
        <v>23</v>
      </c>
      <c r="D18" s="9" t="s">
        <v>24</v>
      </c>
      <c r="E18" s="9" t="s">
        <v>25</v>
      </c>
      <c r="F18" s="9" t="s">
        <v>26</v>
      </c>
      <c r="G18" s="9" t="s">
        <v>15</v>
      </c>
    </row>
    <row r="19" ht="24.0" customHeight="1">
      <c r="B19" s="13" t="s">
        <v>16</v>
      </c>
      <c r="C19" s="6">
        <v>3000.0</v>
      </c>
      <c r="D19" s="18">
        <f t="shared" ref="D19:D21" si="2">$C$7</f>
        <v>62000</v>
      </c>
      <c r="E19" s="18">
        <f t="shared" ref="E19:E21" si="3">C19*D19</f>
        <v>186000000</v>
      </c>
      <c r="F19" s="19">
        <f t="shared" ref="F19:F22" si="4">E19/1000000</f>
        <v>186</v>
      </c>
      <c r="G19" s="7" t="s">
        <v>27</v>
      </c>
    </row>
    <row r="20" ht="24.0" customHeight="1">
      <c r="B20" s="15" t="s">
        <v>18</v>
      </c>
      <c r="C20" s="16">
        <v>772.0</v>
      </c>
      <c r="D20" s="20">
        <f t="shared" si="2"/>
        <v>62000</v>
      </c>
      <c r="E20" s="20">
        <f t="shared" si="3"/>
        <v>47864000</v>
      </c>
      <c r="F20" s="21">
        <f t="shared" si="4"/>
        <v>47.864</v>
      </c>
      <c r="G20" s="7"/>
    </row>
    <row r="21" ht="24.0" customHeight="1">
      <c r="B21" s="13" t="s">
        <v>20</v>
      </c>
      <c r="C21" s="6">
        <v>290.0</v>
      </c>
      <c r="D21" s="18">
        <f t="shared" si="2"/>
        <v>62000</v>
      </c>
      <c r="E21" s="18">
        <f t="shared" si="3"/>
        <v>17980000</v>
      </c>
      <c r="F21" s="19">
        <f t="shared" si="4"/>
        <v>17.98</v>
      </c>
      <c r="G21" s="7" t="s">
        <v>28</v>
      </c>
    </row>
    <row r="22" ht="24.0" customHeight="1">
      <c r="B22" s="15" t="s">
        <v>29</v>
      </c>
      <c r="C22" s="16">
        <v>772.0</v>
      </c>
      <c r="D22" s="20">
        <f>$C$8</f>
        <v>15000</v>
      </c>
      <c r="E22" s="20">
        <f>C22*D22+$C$9</f>
        <v>11980000</v>
      </c>
      <c r="F22" s="21">
        <f t="shared" si="4"/>
        <v>11.98</v>
      </c>
      <c r="G22" s="7" t="s">
        <v>30</v>
      </c>
    </row>
    <row r="23" ht="21.75" customHeight="1">
      <c r="B23" s="22" t="s">
        <v>31</v>
      </c>
    </row>
    <row r="24" ht="7.5" customHeight="1"/>
    <row r="25" ht="25.5" customHeight="1">
      <c r="B25" s="4" t="s">
        <v>32</v>
      </c>
      <c r="C25" s="2"/>
      <c r="D25" s="2"/>
      <c r="E25" s="2"/>
      <c r="F25" s="2"/>
      <c r="G25" s="3"/>
    </row>
    <row r="26" ht="30.0" customHeight="1">
      <c r="B26" s="9" t="s">
        <v>33</v>
      </c>
      <c r="C26" s="10" t="s">
        <v>34</v>
      </c>
      <c r="D26" s="12"/>
      <c r="E26" s="9" t="s">
        <v>35</v>
      </c>
      <c r="F26" s="10" t="s">
        <v>36</v>
      </c>
      <c r="G26" s="12"/>
    </row>
    <row r="27" ht="24.0" customHeight="1">
      <c r="B27" s="13" t="s">
        <v>37</v>
      </c>
      <c r="C27" s="23" t="s">
        <v>38</v>
      </c>
      <c r="D27" s="12"/>
      <c r="E27" s="8">
        <v>17343.0</v>
      </c>
      <c r="F27" s="24" t="s">
        <v>39</v>
      </c>
      <c r="G27" s="12"/>
    </row>
    <row r="28" ht="24.0" customHeight="1">
      <c r="B28" s="15" t="s">
        <v>40</v>
      </c>
      <c r="C28" s="25" t="s">
        <v>41</v>
      </c>
      <c r="D28" s="12"/>
      <c r="E28" s="26">
        <f>575*18</f>
        <v>10350</v>
      </c>
      <c r="F28" s="27" t="s">
        <v>42</v>
      </c>
      <c r="G28" s="12"/>
    </row>
    <row r="29" ht="24.0" customHeight="1">
      <c r="B29" s="13" t="s">
        <v>43</v>
      </c>
      <c r="C29" s="23" t="s">
        <v>44</v>
      </c>
      <c r="D29" s="12"/>
      <c r="E29" s="8">
        <v>3923.0</v>
      </c>
      <c r="F29" s="24" t="s">
        <v>45</v>
      </c>
      <c r="G29" s="12"/>
    </row>
    <row r="30" ht="24.0" customHeight="1">
      <c r="B30" s="15" t="s">
        <v>46</v>
      </c>
      <c r="C30" s="25" t="s">
        <v>47</v>
      </c>
      <c r="D30" s="12"/>
      <c r="E30" s="20">
        <f>4992*2</f>
        <v>9984</v>
      </c>
      <c r="F30" s="27" t="s">
        <v>48</v>
      </c>
      <c r="G30" s="12"/>
    </row>
    <row r="31" ht="24.0" customHeight="1">
      <c r="B31" s="13" t="s">
        <v>49</v>
      </c>
      <c r="C31" s="23" t="s">
        <v>50</v>
      </c>
      <c r="D31" s="12"/>
      <c r="E31" s="8">
        <v>1736.0</v>
      </c>
      <c r="F31" s="24" t="s">
        <v>51</v>
      </c>
      <c r="G31" s="12"/>
    </row>
    <row r="32" ht="24.0" customHeight="1">
      <c r="B32" s="15" t="s">
        <v>52</v>
      </c>
      <c r="C32" s="25" t="s">
        <v>53</v>
      </c>
      <c r="D32" s="12"/>
      <c r="E32" s="28">
        <v>1614.0</v>
      </c>
      <c r="F32" s="27" t="s">
        <v>54</v>
      </c>
      <c r="G32" s="12"/>
    </row>
    <row r="33" ht="24.0" customHeight="1">
      <c r="B33" s="13" t="s">
        <v>55</v>
      </c>
      <c r="C33" s="23" t="s">
        <v>56</v>
      </c>
      <c r="D33" s="12"/>
      <c r="E33" s="8">
        <v>6872.0</v>
      </c>
      <c r="F33" s="24" t="s">
        <v>57</v>
      </c>
      <c r="G33" s="12"/>
    </row>
    <row r="34" ht="24.0" customHeight="1">
      <c r="B34" s="15" t="s">
        <v>58</v>
      </c>
      <c r="C34" s="25" t="s">
        <v>59</v>
      </c>
      <c r="D34" s="12"/>
      <c r="E34" s="28">
        <v>1500.0</v>
      </c>
      <c r="F34" s="27" t="s">
        <v>60</v>
      </c>
      <c r="G34" s="12"/>
    </row>
    <row r="35" ht="24.0" customHeight="1">
      <c r="B35" s="13" t="s">
        <v>61</v>
      </c>
      <c r="C35" s="23" t="s">
        <v>62</v>
      </c>
      <c r="D35" s="12"/>
      <c r="E35" s="8">
        <v>734.0</v>
      </c>
      <c r="F35" s="24" t="s">
        <v>63</v>
      </c>
      <c r="G35" s="12"/>
    </row>
    <row r="36" ht="24.0" customHeight="1">
      <c r="B36" s="15" t="s">
        <v>64</v>
      </c>
      <c r="C36" s="25" t="s">
        <v>65</v>
      </c>
      <c r="D36" s="12"/>
      <c r="E36" s="28">
        <v>5500.0</v>
      </c>
      <c r="F36" s="27" t="s">
        <v>66</v>
      </c>
      <c r="G36" s="12"/>
    </row>
    <row r="37" ht="24.0" customHeight="1">
      <c r="B37" s="13" t="s">
        <v>67</v>
      </c>
      <c r="C37" s="23" t="s">
        <v>68</v>
      </c>
      <c r="D37" s="12"/>
      <c r="E37" s="8">
        <v>4500.0</v>
      </c>
      <c r="F37" s="24" t="s">
        <v>69</v>
      </c>
      <c r="G37" s="12"/>
    </row>
    <row r="38" ht="24.0" customHeight="1">
      <c r="B38" s="15" t="s">
        <v>70</v>
      </c>
      <c r="C38" s="25" t="s">
        <v>71</v>
      </c>
      <c r="D38" s="12"/>
      <c r="E38" s="28">
        <v>5000.0</v>
      </c>
      <c r="F38" s="27" t="s">
        <v>69</v>
      </c>
      <c r="G38" s="12"/>
    </row>
    <row r="39" ht="27.75" customHeight="1">
      <c r="B39" s="29" t="s">
        <v>72</v>
      </c>
      <c r="C39" s="30"/>
      <c r="D39" s="12"/>
      <c r="E39" s="31">
        <f>SUM(E27:E38)</f>
        <v>69056</v>
      </c>
      <c r="F39" s="30"/>
      <c r="G39" s="12"/>
    </row>
    <row r="40" ht="21.75" customHeight="1">
      <c r="B40" s="22" t="s">
        <v>73</v>
      </c>
    </row>
    <row r="41" ht="7.5" customHeight="1"/>
    <row r="42" ht="25.5" customHeight="1">
      <c r="B42" s="4" t="s">
        <v>74</v>
      </c>
      <c r="C42" s="2"/>
      <c r="D42" s="2"/>
      <c r="E42" s="2"/>
      <c r="F42" s="2"/>
      <c r="G42" s="3"/>
    </row>
    <row r="43" ht="30.0" customHeight="1">
      <c r="B43" s="9" t="s">
        <v>75</v>
      </c>
      <c r="C43" s="10" t="s">
        <v>76</v>
      </c>
      <c r="D43" s="12"/>
      <c r="E43" s="10" t="s">
        <v>15</v>
      </c>
      <c r="F43" s="11"/>
      <c r="G43" s="12"/>
    </row>
    <row r="44" ht="36.75" customHeight="1">
      <c r="B44" s="13" t="s">
        <v>77</v>
      </c>
      <c r="C44" s="32">
        <v>20.7</v>
      </c>
      <c r="D44" s="12"/>
      <c r="E44" s="24" t="s">
        <v>78</v>
      </c>
      <c r="F44" s="11"/>
      <c r="G44" s="12"/>
    </row>
    <row r="45" ht="33.75" customHeight="1">
      <c r="B45" s="15" t="s">
        <v>79</v>
      </c>
      <c r="C45" s="33">
        <v>28.3</v>
      </c>
      <c r="D45" s="12"/>
      <c r="E45" s="27" t="s">
        <v>80</v>
      </c>
      <c r="F45" s="11"/>
      <c r="G45" s="12"/>
    </row>
    <row r="46" ht="24.0" customHeight="1">
      <c r="B46" s="13" t="s">
        <v>81</v>
      </c>
      <c r="C46" s="32">
        <v>160.0</v>
      </c>
      <c r="D46" s="12"/>
      <c r="E46" s="24" t="s">
        <v>82</v>
      </c>
      <c r="F46" s="11"/>
      <c r="G46" s="12"/>
    </row>
    <row r="47" ht="24.0" customHeight="1">
      <c r="B47" s="15" t="s">
        <v>83</v>
      </c>
      <c r="C47" s="33">
        <v>20.0</v>
      </c>
      <c r="D47" s="12"/>
      <c r="E47" s="27"/>
      <c r="F47" s="11"/>
      <c r="G47" s="12"/>
    </row>
    <row r="48" ht="24.0" customHeight="1">
      <c r="B48" s="13" t="s">
        <v>84</v>
      </c>
      <c r="C48" s="32">
        <v>20.0</v>
      </c>
      <c r="D48" s="12"/>
      <c r="E48" s="24" t="s">
        <v>85</v>
      </c>
      <c r="F48" s="11"/>
      <c r="G48" s="12"/>
    </row>
    <row r="49" ht="27.75" customHeight="1">
      <c r="B49" s="29" t="s">
        <v>86</v>
      </c>
      <c r="C49" s="34">
        <v>80.0</v>
      </c>
      <c r="D49" s="12"/>
      <c r="E49" s="35" t="s">
        <v>87</v>
      </c>
      <c r="F49" s="11"/>
      <c r="G49" s="12"/>
    </row>
    <row r="50" ht="7.5" customHeight="1"/>
    <row r="51" ht="25.5" customHeight="1">
      <c r="B51" s="4" t="s">
        <v>88</v>
      </c>
      <c r="C51" s="2"/>
      <c r="D51" s="2"/>
      <c r="E51" s="2"/>
      <c r="F51" s="2"/>
      <c r="G51" s="3"/>
    </row>
    <row r="52" ht="24.0" customHeight="1">
      <c r="B52" s="13" t="s">
        <v>89</v>
      </c>
      <c r="C52" s="36">
        <v>1000.0</v>
      </c>
      <c r="D52" s="12"/>
      <c r="E52" s="24"/>
      <c r="F52" s="11"/>
      <c r="G52" s="12"/>
    </row>
    <row r="53" ht="24.0" customHeight="1">
      <c r="B53" s="15" t="s">
        <v>90</v>
      </c>
      <c r="C53" s="37">
        <v>15.0</v>
      </c>
      <c r="D53" s="12"/>
      <c r="E53" s="27"/>
      <c r="F53" s="11"/>
      <c r="G53" s="12"/>
    </row>
    <row r="54" ht="24.0" customHeight="1">
      <c r="B54" s="13" t="s">
        <v>91</v>
      </c>
      <c r="C54" s="36">
        <v>201.0</v>
      </c>
      <c r="D54" s="12"/>
      <c r="E54" s="24"/>
      <c r="F54" s="11"/>
      <c r="G54" s="12"/>
    </row>
    <row r="55" ht="24.0" customHeight="1">
      <c r="B55" s="15" t="s">
        <v>92</v>
      </c>
      <c r="C55" s="37">
        <v>2.0</v>
      </c>
      <c r="D55" s="12"/>
      <c r="E55" s="27" t="s">
        <v>93</v>
      </c>
      <c r="F55" s="11"/>
      <c r="G55" s="12"/>
    </row>
    <row r="56" ht="24.0" customHeight="1">
      <c r="B56" s="13" t="s">
        <v>94</v>
      </c>
      <c r="C56" s="36">
        <v>25.0</v>
      </c>
      <c r="D56" s="12"/>
      <c r="E56" s="24" t="s">
        <v>95</v>
      </c>
      <c r="F56" s="11"/>
      <c r="G56" s="12"/>
    </row>
    <row r="57" ht="24.0" customHeight="1">
      <c r="B57" s="15" t="s">
        <v>96</v>
      </c>
      <c r="C57" s="38">
        <v>360000.0</v>
      </c>
      <c r="D57" s="12"/>
      <c r="E57" s="27"/>
      <c r="F57" s="11"/>
      <c r="G57" s="12"/>
    </row>
    <row r="58" ht="7.5" customHeight="1"/>
    <row r="59" ht="21.75" customHeight="1">
      <c r="B59" s="4" t="s">
        <v>97</v>
      </c>
      <c r="C59" s="2"/>
      <c r="D59" s="2"/>
      <c r="E59" s="2"/>
      <c r="F59" s="2"/>
      <c r="G59" s="3"/>
    </row>
    <row r="60" ht="21.75" customHeight="1">
      <c r="B60" s="39" t="s">
        <v>98</v>
      </c>
      <c r="C60" s="24" t="s">
        <v>99</v>
      </c>
      <c r="D60" s="11"/>
      <c r="E60" s="11"/>
      <c r="F60" s="11"/>
      <c r="G60" s="12"/>
    </row>
    <row r="61" ht="21.75" customHeight="1">
      <c r="B61" s="40" t="s">
        <v>100</v>
      </c>
      <c r="C61" s="27" t="s">
        <v>101</v>
      </c>
      <c r="D61" s="11"/>
      <c r="E61" s="11"/>
      <c r="F61" s="11"/>
      <c r="G61" s="12"/>
    </row>
    <row r="62" ht="21.75" customHeight="1">
      <c r="B62" s="29" t="s">
        <v>102</v>
      </c>
      <c r="C62" s="35" t="s">
        <v>103</v>
      </c>
      <c r="D62" s="11"/>
      <c r="E62" s="11"/>
      <c r="F62" s="11"/>
      <c r="G62" s="1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6:G46"/>
    <mergeCell ref="E47:G47"/>
    <mergeCell ref="B40:G40"/>
    <mergeCell ref="B42:G42"/>
    <mergeCell ref="C43:D43"/>
    <mergeCell ref="E43:G43"/>
    <mergeCell ref="C44:D44"/>
    <mergeCell ref="E44:G44"/>
    <mergeCell ref="E45:G45"/>
    <mergeCell ref="B51:G51"/>
    <mergeCell ref="C52:D52"/>
    <mergeCell ref="E52:G52"/>
    <mergeCell ref="C53:D53"/>
    <mergeCell ref="E53:G53"/>
    <mergeCell ref="C54:D54"/>
    <mergeCell ref="E54:G54"/>
    <mergeCell ref="C60:G60"/>
    <mergeCell ref="C61:G61"/>
    <mergeCell ref="C62:G62"/>
    <mergeCell ref="C55:D55"/>
    <mergeCell ref="E55:G55"/>
    <mergeCell ref="C56:D56"/>
    <mergeCell ref="E56:G56"/>
    <mergeCell ref="C57:D57"/>
    <mergeCell ref="E57:G57"/>
    <mergeCell ref="B59:G59"/>
    <mergeCell ref="B2:G2"/>
    <mergeCell ref="B4:G4"/>
    <mergeCell ref="B11:G11"/>
    <mergeCell ref="D12:F12"/>
    <mergeCell ref="D13:F13"/>
    <mergeCell ref="D14:F14"/>
    <mergeCell ref="D15:F15"/>
    <mergeCell ref="F27:G27"/>
    <mergeCell ref="F28:G28"/>
    <mergeCell ref="B17:G17"/>
    <mergeCell ref="B23:G23"/>
    <mergeCell ref="B25:G25"/>
    <mergeCell ref="C26:D26"/>
    <mergeCell ref="F26:G26"/>
    <mergeCell ref="C27:D27"/>
    <mergeCell ref="C28:D28"/>
    <mergeCell ref="C32:D32"/>
    <mergeCell ref="C33:D33"/>
    <mergeCell ref="C34:D34"/>
    <mergeCell ref="C35:D35"/>
    <mergeCell ref="C36:D36"/>
    <mergeCell ref="C37:D37"/>
    <mergeCell ref="C38:D38"/>
    <mergeCell ref="C39:D39"/>
    <mergeCell ref="C29:D29"/>
    <mergeCell ref="F29:G29"/>
    <mergeCell ref="C30:D30"/>
    <mergeCell ref="F30:G30"/>
    <mergeCell ref="C31:D31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C45:D45"/>
    <mergeCell ref="C46:D46"/>
    <mergeCell ref="C47:D47"/>
    <mergeCell ref="C48:D48"/>
    <mergeCell ref="E48:G48"/>
    <mergeCell ref="C49:D49"/>
    <mergeCell ref="E49:G49"/>
  </mergeCells>
  <printOptions horizontalCentered="1"/>
  <pageMargins bottom="1.0" footer="0.0" header="0.0" left="0.75" right="0.7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2026-05-03T21:11:04Z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